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zultati" sheetId="1" state="visible" r:id="rId3"/>
    <sheet name="Inventar" sheetId="2" state="visible" r:id="rId4"/>
  </sheets>
  <definedNames>
    <definedName function="false" hidden="true" localSheetId="0" name="_xlnm._FilterDatabase" vbProcedure="false">Rezultati!$A$1:$H$13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<sst xmlns="http://schemas.openxmlformats.org/spreadsheetml/2006/main" count="83" uniqueCount="58">
  <si>
    <t xml:space="preserve">ID</t>
  </si>
  <si>
    <t xml:space="preserve">Student</t>
  </si>
  <si>
    <t xml:space="preserve">Grupa</t>
  </si>
  <si>
    <t xml:space="preserve">Dolasci</t>
  </si>
  <si>
    <t xml:space="preserve">Zadatak 1</t>
  </si>
  <si>
    <t xml:space="preserve">Zadatak 2</t>
  </si>
  <si>
    <t xml:space="preserve">Predano</t>
  </si>
  <si>
    <t xml:space="preserve">Prosjek</t>
  </si>
  <si>
    <t xml:space="preserve">Status</t>
  </si>
  <si>
    <t xml:space="preserve">Sažetak</t>
  </si>
  <si>
    <t xml:space="preserve">S01</t>
  </si>
  <si>
    <t xml:space="preserve">Ana</t>
  </si>
  <si>
    <t xml:space="preserve">A</t>
  </si>
  <si>
    <t xml:space="preserve">Da</t>
  </si>
  <si>
    <t xml:space="preserve">Prosjek zadatka 1</t>
  </si>
  <si>
    <t xml:space="preserve">S02</t>
  </si>
  <si>
    <t xml:space="preserve">Bruno</t>
  </si>
  <si>
    <t xml:space="preserve">B</t>
  </si>
  <si>
    <t xml:space="preserve">Prosjek zadatka 2</t>
  </si>
  <si>
    <t xml:space="preserve">S03</t>
  </si>
  <si>
    <t xml:space="preserve">Carla</t>
  </si>
  <si>
    <t xml:space="preserve">Broj rezultata zadatka 1</t>
  </si>
  <si>
    <t xml:space="preserve">S04</t>
  </si>
  <si>
    <t xml:space="preserve">David</t>
  </si>
  <si>
    <t xml:space="preserve">Ne</t>
  </si>
  <si>
    <t xml:space="preserve">Broj studenata</t>
  </si>
  <si>
    <t xml:space="preserve">S05</t>
  </si>
  <si>
    <t xml:space="preserve">Ema</t>
  </si>
  <si>
    <t xml:space="preserve">Broj predanih radova</t>
  </si>
  <si>
    <t xml:space="preserve">S06</t>
  </si>
  <si>
    <t xml:space="preserve">Filip</t>
  </si>
  <si>
    <t xml:space="preserve">S07</t>
  </si>
  <si>
    <t xml:space="preserve">Gita</t>
  </si>
  <si>
    <t xml:space="preserve">S08</t>
  </si>
  <si>
    <t xml:space="preserve">Hrvoje</t>
  </si>
  <si>
    <t xml:space="preserve">S09</t>
  </si>
  <si>
    <t xml:space="preserve">Iva</t>
  </si>
  <si>
    <t xml:space="preserve">S10</t>
  </si>
  <si>
    <t xml:space="preserve">Jakov</t>
  </si>
  <si>
    <t xml:space="preserve">S11</t>
  </si>
  <si>
    <t xml:space="preserve">Karla</t>
  </si>
  <si>
    <t xml:space="preserve">S12</t>
  </si>
  <si>
    <t xml:space="preserve">Luka</t>
  </si>
  <si>
    <t xml:space="preserve">Proizvod</t>
  </si>
  <si>
    <t xml:space="preserve">Kategorija</t>
  </si>
  <si>
    <t xml:space="preserve">Količina</t>
  </si>
  <si>
    <t xml:space="preserve">Jedinična cijena</t>
  </si>
  <si>
    <t xml:space="preserve">Bilježnica A5</t>
  </si>
  <si>
    <t xml:space="preserve">Papirnica</t>
  </si>
  <si>
    <t xml:space="preserve">Kemijska plava</t>
  </si>
  <si>
    <t xml:space="preserve">Pisaći pribor</t>
  </si>
  <si>
    <t xml:space="preserve">Olovka HB</t>
  </si>
  <si>
    <t xml:space="preserve">Mapa A4</t>
  </si>
  <si>
    <t xml:space="preserve">USB 32 GB</t>
  </si>
  <si>
    <t xml:space="preserve">Elektronika</t>
  </si>
  <si>
    <t xml:space="preserve">Kalkulator</t>
  </si>
  <si>
    <t xml:space="preserve">Flomasteri</t>
  </si>
  <si>
    <t xml:space="preserve">Papir A4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</si>
</sst>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  <font>
      <b val="true"/>
      <sz val="10"/>
      <name val="Arial"/>
      <family val="2"/>
      <charset val="1"/>
    </font>
    <font>
      <sz val="13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81D41A"/>
        <bgColor rgb="FFB3B3B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81D41A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Rezutati zadataka po studentu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Rezultati!$E$1</c:f>
              <c:strCache>
                <c:ptCount val="1"/>
                <c:pt idx="0">
                  <c:v>Zadatak 1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Rezultati!$B$2:$B$13</c:f>
              <c:strCache>
                <c:ptCount val="12"/>
                <c:pt idx="0">
                  <c:v>Ana</c:v>
                </c:pt>
                <c:pt idx="1">
                  <c:v>Bruno</c:v>
                </c:pt>
                <c:pt idx="2">
                  <c:v>Carla</c:v>
                </c:pt>
                <c:pt idx="3">
                  <c:v>David</c:v>
                </c:pt>
                <c:pt idx="4">
                  <c:v>Ema</c:v>
                </c:pt>
                <c:pt idx="5">
                  <c:v>Filip</c:v>
                </c:pt>
                <c:pt idx="6">
                  <c:v>Gita</c:v>
                </c:pt>
                <c:pt idx="7">
                  <c:v>Hrvoje</c:v>
                </c:pt>
                <c:pt idx="8">
                  <c:v>Iva</c:v>
                </c:pt>
                <c:pt idx="9">
                  <c:v>Jakov</c:v>
                </c:pt>
                <c:pt idx="10">
                  <c:v>Karla</c:v>
                </c:pt>
                <c:pt idx="11">
                  <c:v>Luka</c:v>
                </c:pt>
              </c:strCache>
            </c:strRef>
          </c:cat>
          <c:val>
            <c:numRef>
              <c:f>Rezultati!$E$2:$E$13</c:f>
              <c:numCache>
                <c:formatCode>General</c:formatCode>
                <c:ptCount val="12"/>
                <c:pt idx="0">
                  <c:v>78</c:v>
                </c:pt>
                <c:pt idx="1">
                  <c:v>65</c:v>
                </c:pt>
                <c:pt idx="2">
                  <c:v>92</c:v>
                </c:pt>
                <c:pt idx="3">
                  <c:v>55</c:v>
                </c:pt>
                <c:pt idx="4">
                  <c:v>73</c:v>
                </c:pt>
                <c:pt idx="5">
                  <c:v>88</c:v>
                </c:pt>
                <c:pt idx="6">
                  <c:v>47</c:v>
                </c:pt>
                <c:pt idx="7">
                  <c:v>69</c:v>
                </c:pt>
                <c:pt idx="8">
                  <c:v>95</c:v>
                </c:pt>
                <c:pt idx="9">
                  <c:v>58</c:v>
                </c:pt>
                <c:pt idx="10">
                  <c:v>81</c:v>
                </c:pt>
                <c:pt idx="11">
                  <c:v>76</c:v>
                </c:pt>
              </c:numCache>
            </c:numRef>
          </c:val>
        </c:ser>
        <c:ser>
          <c:idx val="1"/>
          <c:order val="1"/>
          <c:tx>
            <c:strRef>
              <c:f>Rezultati!$F$1</c:f>
              <c:strCache>
                <c:ptCount val="1"/>
                <c:pt idx="0">
                  <c:v>Zadatak 2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Rezultati!$B$2:$B$13</c:f>
              <c:strCache>
                <c:ptCount val="12"/>
                <c:pt idx="0">
                  <c:v>Ana</c:v>
                </c:pt>
                <c:pt idx="1">
                  <c:v>Bruno</c:v>
                </c:pt>
                <c:pt idx="2">
                  <c:v>Carla</c:v>
                </c:pt>
                <c:pt idx="3">
                  <c:v>David</c:v>
                </c:pt>
                <c:pt idx="4">
                  <c:v>Ema</c:v>
                </c:pt>
                <c:pt idx="5">
                  <c:v>Filip</c:v>
                </c:pt>
                <c:pt idx="6">
                  <c:v>Gita</c:v>
                </c:pt>
                <c:pt idx="7">
                  <c:v>Hrvoje</c:v>
                </c:pt>
                <c:pt idx="8">
                  <c:v>Iva</c:v>
                </c:pt>
                <c:pt idx="9">
                  <c:v>Jakov</c:v>
                </c:pt>
                <c:pt idx="10">
                  <c:v>Karla</c:v>
                </c:pt>
                <c:pt idx="11">
                  <c:v>Luka</c:v>
                </c:pt>
              </c:strCache>
            </c:strRef>
          </c:cat>
          <c:val>
            <c:numRef>
              <c:f>Rezultati!$F$2:$F$13</c:f>
              <c:numCache>
                <c:formatCode>General</c:formatCode>
                <c:ptCount val="12"/>
                <c:pt idx="0">
                  <c:v>84</c:v>
                </c:pt>
                <c:pt idx="1">
                  <c:v>70</c:v>
                </c:pt>
                <c:pt idx="2">
                  <c:v>88</c:v>
                </c:pt>
                <c:pt idx="3">
                  <c:v>61</c:v>
                </c:pt>
                <c:pt idx="4">
                  <c:v>76</c:v>
                </c:pt>
                <c:pt idx="5">
                  <c:v>91</c:v>
                </c:pt>
                <c:pt idx="6">
                  <c:v>52</c:v>
                </c:pt>
                <c:pt idx="7">
                  <c:v>64</c:v>
                </c:pt>
                <c:pt idx="8">
                  <c:v>93</c:v>
                </c:pt>
                <c:pt idx="9">
                  <c:v>49</c:v>
                </c:pt>
                <c:pt idx="10">
                  <c:v>79</c:v>
                </c:pt>
                <c:pt idx="11">
                  <c:v>85</c:v>
                </c:pt>
              </c:numCache>
            </c:numRef>
          </c:val>
        </c:ser>
        <c:gapWidth val="100"/>
        <c:overlap val="0"/>
        <c:axId val="509118"/>
        <c:axId val="90116724"/>
      </c:barChart>
      <c:catAx>
        <c:axId val="50911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90116724"/>
        <c:crosses val="autoZero"/>
        <c:auto val="1"/>
        <c:lblAlgn val="ctr"/>
        <c:lblOffset val="100"/>
        <c:noMultiLvlLbl val="0"/>
      </c:catAx>
      <c:valAx>
        <c:axId val="9011672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509118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550800</xdr:colOff>
      <xdr:row>16</xdr:row>
      <xdr:rowOff>127440</xdr:rowOff>
    </xdr:from>
    <xdr:to>
      <xdr:col>15</xdr:col>
      <xdr:colOff>669600</xdr:colOff>
      <xdr:row>36</xdr:row>
      <xdr:rowOff>111600</xdr:rowOff>
    </xdr:to>
    <xdr:graphicFrame>
      <xdr:nvGraphicFramePr>
        <xdr:cNvPr id="1" name=""/>
        <xdr:cNvGraphicFramePr/>
      </xdr:nvGraphicFramePr>
      <xdr:xfrm>
        <a:off x="6250680" y="2988000"/>
        <a:ext cx="7936920" cy="3235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K8" activeCellId="0" sqref="K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6" min="6" style="1" width="11.68"/>
    <col collapsed="false" customWidth="true" hidden="false" outlineLevel="0" max="9" min="9" style="1" width="17.69"/>
    <col collapsed="false" customWidth="true" hidden="false" outlineLevel="0" max="10" min="10" style="1" width="24.04"/>
  </cols>
  <sheetData>
    <row r="1" customFormat="false" ht="25.3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2.8" hidden="false" customHeight="false" outlineLevel="0" collapsed="false">
      <c r="A2" s="3" t="s">
        <v>10</v>
      </c>
      <c r="B2" s="3" t="s">
        <v>11</v>
      </c>
      <c r="C2" s="3" t="s">
        <v>12</v>
      </c>
      <c r="D2" s="3" t="n">
        <v>5</v>
      </c>
      <c r="E2" s="3" t="n">
        <v>78</v>
      </c>
      <c r="F2" s="3" t="n">
        <v>84</v>
      </c>
      <c r="G2" s="3" t="s">
        <v>13</v>
      </c>
      <c r="H2" s="1" t="n">
        <f aca="false">AVERAGE(E2,F2)</f>
        <v>81</v>
      </c>
      <c r="I2" s="4" t="str">
        <f aca="false">IF(OR(D2&lt;3,G2="Ne"),"Provjeriti","U redu")</f>
        <v>U redu</v>
      </c>
      <c r="J2" s="5" t="s">
        <v>14</v>
      </c>
      <c r="K2" s="6" t="n">
        <f aca="false">AVERAGE(E2:E13)</f>
        <v>73.0833333333333</v>
      </c>
    </row>
    <row r="3" customFormat="false" ht="12.8" hidden="false" customHeight="false" outlineLevel="0" collapsed="false">
      <c r="A3" s="3" t="s">
        <v>15</v>
      </c>
      <c r="B3" s="3" t="s">
        <v>16</v>
      </c>
      <c r="C3" s="3" t="s">
        <v>17</v>
      </c>
      <c r="D3" s="3" t="n">
        <v>4</v>
      </c>
      <c r="E3" s="3" t="n">
        <v>65</v>
      </c>
      <c r="F3" s="3" t="n">
        <v>70</v>
      </c>
      <c r="G3" s="3" t="s">
        <v>13</v>
      </c>
      <c r="H3" s="1" t="n">
        <f aca="false">AVERAGE(E3,F3)</f>
        <v>67.5</v>
      </c>
      <c r="I3" s="4" t="str">
        <f aca="false">IF(OR(D3&lt;3,G3="Ne"),"Provjeriti","U redu")</f>
        <v>U redu</v>
      </c>
      <c r="J3" s="5" t="s">
        <v>18</v>
      </c>
      <c r="K3" s="6" t="n">
        <f aca="false">AVERAGE(F2:F13)</f>
        <v>74.3333333333333</v>
      </c>
    </row>
    <row r="4" customFormat="false" ht="12.8" hidden="false" customHeight="false" outlineLevel="0" collapsed="false">
      <c r="A4" s="3" t="s">
        <v>19</v>
      </c>
      <c r="B4" s="3" t="s">
        <v>20</v>
      </c>
      <c r="C4" s="3" t="s">
        <v>12</v>
      </c>
      <c r="D4" s="3" t="n">
        <v>5</v>
      </c>
      <c r="E4" s="3" t="n">
        <v>92</v>
      </c>
      <c r="F4" s="3" t="n">
        <v>88</v>
      </c>
      <c r="G4" s="3" t="s">
        <v>13</v>
      </c>
      <c r="H4" s="1" t="n">
        <f aca="false">AVERAGE(E4,F4)</f>
        <v>90</v>
      </c>
      <c r="I4" s="4" t="str">
        <f aca="false">IF(OR(D4&lt;3,G4="Ne"),"Provjeriti","U redu")</f>
        <v>U redu</v>
      </c>
      <c r="J4" s="5" t="s">
        <v>21</v>
      </c>
      <c r="K4" s="1" t="n">
        <f aca="false">COUNT(E2:E13)</f>
        <v>12</v>
      </c>
    </row>
    <row r="5" customFormat="false" ht="12.8" hidden="false" customHeight="false" outlineLevel="0" collapsed="false">
      <c r="A5" s="3" t="s">
        <v>22</v>
      </c>
      <c r="B5" s="3" t="s">
        <v>23</v>
      </c>
      <c r="C5" s="3" t="s">
        <v>17</v>
      </c>
      <c r="D5" s="3" t="n">
        <v>3</v>
      </c>
      <c r="E5" s="3" t="n">
        <v>55</v>
      </c>
      <c r="F5" s="3" t="n">
        <v>61</v>
      </c>
      <c r="G5" s="3" t="s">
        <v>24</v>
      </c>
      <c r="H5" s="1" t="n">
        <f aca="false">AVERAGE(E5,F5)</f>
        <v>58</v>
      </c>
      <c r="I5" s="4" t="str">
        <f aca="false">IF(OR(D5&lt;3,G5="Ne"),"Provjeriti","U redu")</f>
        <v>Provjeriti</v>
      </c>
      <c r="J5" s="5" t="s">
        <v>25</v>
      </c>
      <c r="K5" s="1" t="n">
        <f aca="false">COUNTA(B2:B13)</f>
        <v>12</v>
      </c>
    </row>
    <row r="6" customFormat="false" ht="12.8" hidden="false" customHeight="false" outlineLevel="0" collapsed="false">
      <c r="A6" s="3" t="s">
        <v>26</v>
      </c>
      <c r="B6" s="3" t="s">
        <v>27</v>
      </c>
      <c r="C6" s="3" t="s">
        <v>12</v>
      </c>
      <c r="D6" s="3" t="n">
        <v>4</v>
      </c>
      <c r="E6" s="3" t="n">
        <v>73</v>
      </c>
      <c r="F6" s="3" t="n">
        <v>76</v>
      </c>
      <c r="G6" s="3" t="s">
        <v>13</v>
      </c>
      <c r="H6" s="1" t="n">
        <f aca="false">AVERAGE(E6,F6)</f>
        <v>74.5</v>
      </c>
      <c r="I6" s="4" t="str">
        <f aca="false">IF(OR(D6&lt;3,G6="Ne"),"Provjeriti","U redu")</f>
        <v>U redu</v>
      </c>
      <c r="J6" s="5" t="s">
        <v>28</v>
      </c>
      <c r="K6" s="1" t="n">
        <f aca="false">COUNTIF(G2:G13,"Da")</f>
        <v>9</v>
      </c>
    </row>
    <row r="7" customFormat="false" ht="12.8" hidden="false" customHeight="false" outlineLevel="0" collapsed="false">
      <c r="A7" s="3" t="s">
        <v>29</v>
      </c>
      <c r="B7" s="3" t="s">
        <v>30</v>
      </c>
      <c r="C7" s="3" t="s">
        <v>17</v>
      </c>
      <c r="D7" s="3" t="n">
        <v>5</v>
      </c>
      <c r="E7" s="3" t="n">
        <v>88</v>
      </c>
      <c r="F7" s="3" t="n">
        <v>91</v>
      </c>
      <c r="G7" s="3" t="s">
        <v>13</v>
      </c>
      <c r="H7" s="1" t="n">
        <f aca="false">AVERAGE(E7,F7)</f>
        <v>89.5</v>
      </c>
      <c r="I7" s="4" t="str">
        <f aca="false">IF(OR(D7&lt;3,G7="Ne"),"Provjeriti","U redu")</f>
        <v>U redu</v>
      </c>
    </row>
    <row r="8" customFormat="false" ht="17.2" hidden="false" customHeight="true" outlineLevel="0" collapsed="false">
      <c r="A8" s="3" t="s">
        <v>31</v>
      </c>
      <c r="B8" s="3" t="s">
        <v>32</v>
      </c>
      <c r="C8" s="3" t="s">
        <v>12</v>
      </c>
      <c r="D8" s="3" t="n">
        <v>2</v>
      </c>
      <c r="E8" s="3" t="n">
        <v>47</v>
      </c>
      <c r="F8" s="3" t="n">
        <v>52</v>
      </c>
      <c r="G8" s="3" t="s">
        <v>24</v>
      </c>
      <c r="H8" s="1" t="n">
        <f aca="false">AVERAGE(E8,F8)</f>
        <v>49.5</v>
      </c>
      <c r="I8" s="4" t="str">
        <f aca="false">IF(OR(D8&lt;3,G8="Ne"),"Provjeriti","U redu")</f>
        <v>Provjeriti</v>
      </c>
    </row>
    <row r="9" customFormat="false" ht="12.8" hidden="false" customHeight="false" outlineLevel="0" collapsed="false">
      <c r="A9" s="3" t="s">
        <v>33</v>
      </c>
      <c r="B9" s="3" t="s">
        <v>34</v>
      </c>
      <c r="C9" s="3" t="s">
        <v>17</v>
      </c>
      <c r="D9" s="3" t="n">
        <v>4</v>
      </c>
      <c r="E9" s="3" t="n">
        <v>69</v>
      </c>
      <c r="F9" s="3" t="n">
        <v>64</v>
      </c>
      <c r="G9" s="3" t="s">
        <v>13</v>
      </c>
      <c r="H9" s="1" t="n">
        <f aca="false">AVERAGE(E9,F9)</f>
        <v>66.5</v>
      </c>
      <c r="I9" s="4" t="str">
        <f aca="false">IF(OR(D9&lt;3,G9="Ne"),"Provjeriti","U redu")</f>
        <v>U redu</v>
      </c>
    </row>
    <row r="10" customFormat="false" ht="12.8" hidden="false" customHeight="false" outlineLevel="0" collapsed="false">
      <c r="A10" s="3" t="s">
        <v>35</v>
      </c>
      <c r="B10" s="3" t="s">
        <v>36</v>
      </c>
      <c r="C10" s="3" t="s">
        <v>12</v>
      </c>
      <c r="D10" s="3" t="n">
        <v>5</v>
      </c>
      <c r="E10" s="3" t="n">
        <v>95</v>
      </c>
      <c r="F10" s="3" t="n">
        <v>93</v>
      </c>
      <c r="G10" s="3" t="s">
        <v>13</v>
      </c>
      <c r="H10" s="1" t="n">
        <f aca="false">AVERAGE(E10,F10)</f>
        <v>94</v>
      </c>
      <c r="I10" s="4" t="str">
        <f aca="false">IF(OR(D10&lt;3,G10="Ne"),"Provjeriti","U redu")</f>
        <v>U redu</v>
      </c>
    </row>
    <row r="11" customFormat="false" ht="16.3" hidden="false" customHeight="true" outlineLevel="0" collapsed="false">
      <c r="A11" s="3" t="s">
        <v>37</v>
      </c>
      <c r="B11" s="3" t="s">
        <v>38</v>
      </c>
      <c r="C11" s="3" t="s">
        <v>17</v>
      </c>
      <c r="D11" s="3" t="n">
        <v>3</v>
      </c>
      <c r="E11" s="3" t="n">
        <v>58</v>
      </c>
      <c r="F11" s="3" t="n">
        <v>49</v>
      </c>
      <c r="G11" s="3" t="s">
        <v>24</v>
      </c>
      <c r="H11" s="1" t="n">
        <f aca="false">AVERAGE(E11,F11)</f>
        <v>53.5</v>
      </c>
      <c r="I11" s="4" t="str">
        <f aca="false">IF(OR(D11&lt;3,G11="Ne"),"Provjeriti","U redu")</f>
        <v>Provjeriti</v>
      </c>
    </row>
    <row r="12" customFormat="false" ht="12.8" hidden="false" customHeight="false" outlineLevel="0" collapsed="false">
      <c r="A12" s="3" t="s">
        <v>39</v>
      </c>
      <c r="B12" s="3" t="s">
        <v>40</v>
      </c>
      <c r="C12" s="3" t="s">
        <v>12</v>
      </c>
      <c r="D12" s="3" t="n">
        <v>4</v>
      </c>
      <c r="E12" s="3" t="n">
        <v>81</v>
      </c>
      <c r="F12" s="3" t="n">
        <v>79</v>
      </c>
      <c r="G12" s="3" t="s">
        <v>13</v>
      </c>
      <c r="H12" s="1" t="n">
        <f aca="false">AVERAGE(E12,F12)</f>
        <v>80</v>
      </c>
      <c r="I12" s="4" t="str">
        <f aca="false">IF(OR(D12&lt;3,G12="Ne"),"Provjeriti","U redu")</f>
        <v>U redu</v>
      </c>
    </row>
    <row r="13" customFormat="false" ht="12.8" hidden="false" customHeight="false" outlineLevel="0" collapsed="false">
      <c r="A13" s="3" t="s">
        <v>41</v>
      </c>
      <c r="B13" s="3" t="s">
        <v>42</v>
      </c>
      <c r="C13" s="3" t="s">
        <v>17</v>
      </c>
      <c r="D13" s="3" t="n">
        <v>5</v>
      </c>
      <c r="E13" s="3" t="n">
        <v>76</v>
      </c>
      <c r="F13" s="3" t="n">
        <v>85</v>
      </c>
      <c r="G13" s="3" t="s">
        <v>13</v>
      </c>
      <c r="H13" s="1" t="n">
        <f aca="false">AVERAGE(E13,F13)</f>
        <v>80.5</v>
      </c>
      <c r="I13" s="4" t="str">
        <f aca="false">IF(OR(D13&lt;3,G13="Ne"),"Provjeriti","U redu")</f>
        <v>U redu</v>
      </c>
    </row>
  </sheetData>
  <autoFilter ref="A1:H13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22.8" hidden="false" customHeight="false" outlineLevel="0" collapsed="false">
      <c r="A1" s="7" t="s">
        <v>43</v>
      </c>
      <c r="B1" s="7" t="s">
        <v>44</v>
      </c>
      <c r="C1" s="7" t="s">
        <v>45</v>
      </c>
      <c r="D1" s="7" t="s">
        <v>46</v>
      </c>
    </row>
    <row r="2" customFormat="false" ht="12.8" hidden="false" customHeight="false" outlineLevel="0" collapsed="false">
      <c r="A2" s="3" t="s">
        <v>47</v>
      </c>
      <c r="B2" s="3" t="s">
        <v>48</v>
      </c>
      <c r="C2" s="3" t="n">
        <v>18</v>
      </c>
      <c r="D2" s="3" t="n">
        <v>2.5</v>
      </c>
    </row>
    <row r="3" customFormat="false" ht="22.8" hidden="false" customHeight="false" outlineLevel="0" collapsed="false">
      <c r="A3" s="3" t="s">
        <v>49</v>
      </c>
      <c r="B3" s="3" t="s">
        <v>50</v>
      </c>
      <c r="C3" s="3" t="n">
        <v>7</v>
      </c>
      <c r="D3" s="3" t="n">
        <v>1.2</v>
      </c>
    </row>
    <row r="4" customFormat="false" ht="12.8" hidden="false" customHeight="false" outlineLevel="0" collapsed="false">
      <c r="A4" s="3" t="s">
        <v>51</v>
      </c>
      <c r="B4" s="3" t="s">
        <v>50</v>
      </c>
      <c r="C4" s="3" t="n">
        <v>25</v>
      </c>
      <c r="D4" s="3" t="n">
        <v>0.8</v>
      </c>
    </row>
    <row r="5" customFormat="false" ht="12.8" hidden="false" customHeight="false" outlineLevel="0" collapsed="false">
      <c r="A5" s="3" t="s">
        <v>52</v>
      </c>
      <c r="B5" s="3" t="s">
        <v>48</v>
      </c>
      <c r="C5" s="3" t="n">
        <v>5</v>
      </c>
      <c r="D5" s="3" t="n">
        <v>3.4</v>
      </c>
    </row>
    <row r="6" customFormat="false" ht="12.8" hidden="false" customHeight="false" outlineLevel="0" collapsed="false">
      <c r="A6" s="3" t="s">
        <v>53</v>
      </c>
      <c r="B6" s="3" t="s">
        <v>54</v>
      </c>
      <c r="C6" s="3" t="n">
        <v>9</v>
      </c>
      <c r="D6" s="3" t="n">
        <v>8.5</v>
      </c>
    </row>
    <row r="7" customFormat="false" ht="12.8" hidden="false" customHeight="false" outlineLevel="0" collapsed="false">
      <c r="A7" s="3" t="s">
        <v>55</v>
      </c>
      <c r="B7" s="3" t="s">
        <v>54</v>
      </c>
      <c r="C7" s="3" t="n">
        <v>4</v>
      </c>
      <c r="D7" s="3" t="n">
        <v>14</v>
      </c>
    </row>
    <row r="8" customFormat="false" ht="12.8" hidden="false" customHeight="false" outlineLevel="0" collapsed="false">
      <c r="A8" s="3" t="s">
        <v>56</v>
      </c>
      <c r="B8" s="3" t="s">
        <v>50</v>
      </c>
      <c r="C8" s="3" t="n">
        <v>12</v>
      </c>
      <c r="D8" s="3" t="n">
        <v>4.8</v>
      </c>
    </row>
    <row r="9" customFormat="false" ht="12.8" hidden="false" customHeight="false" outlineLevel="0" collapsed="false">
      <c r="A9" s="3" t="s">
        <v>57</v>
      </c>
      <c r="B9" s="3" t="s">
        <v>48</v>
      </c>
      <c r="C9" s="3" t="n">
        <v>20</v>
      </c>
      <c r="D9" s="3" t="n">
        <v>6.9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</TotalTime>
  <Application>LibreOffice/25.8.4.2$MacOSX_AARCH64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2026-09-15T11:43:37Z</dcterms:created>
  <dc:creator/>
  <dc:description/>
  <dc:language>hr-HR</dc:language>
  <cp:lastModifiedBy/>
  <dcterms:modified xsi:type="dcterms:W3CDTF">2026-09-16T10:23:12Z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